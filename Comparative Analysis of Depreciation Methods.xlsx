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https://d.docs.live.net/d3d189cf34b57793/Desktop/CoachX/MS Excel/May_Batch/Excel_Projects/Excel_Projects/"/>
    </mc:Choice>
  </mc:AlternateContent>
  <xr:revisionPtr revIDLastSave="1" documentId="13_ncr:1_{7F79F7FB-C1B0-48FA-BC09-8978C66799F8}" xr6:coauthVersionLast="47" xr6:coauthVersionMax="47" xr10:uidLastSave="{CE9090C2-E8B4-4ED8-93A2-9A82266A2DFC}"/>
  <bookViews>
    <workbookView xWindow="-108" yWindow="-108" windowWidth="23256" windowHeight="12456" activeTab="3" xr2:uid="{00000000-000D-0000-FFFF-FFFF00000000}"/>
  </bookViews>
  <sheets>
    <sheet name="Executive Summary" sheetId="2" r:id="rId1"/>
    <sheet name="Depreciation Calculator" sheetId="1" r:id="rId2"/>
    <sheet name="Advanced Answers" sheetId="3" r:id="rId3"/>
    <sheet name="Dashboard" sheetId="4" r:id="rId4"/>
  </sheets>
  <definedNames>
    <definedName name="Information">'Executive Summary'!$B$14:$C$18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4" l="1"/>
  <c r="E5" i="4"/>
  <c r="E6" i="4"/>
  <c r="E7" i="4"/>
  <c r="E8" i="4"/>
  <c r="E9" i="4"/>
  <c r="E10" i="4"/>
  <c r="E11" i="4"/>
  <c r="E12" i="4"/>
  <c r="C4" i="4"/>
  <c r="C5" i="4"/>
  <c r="C6" i="4"/>
  <c r="C7" i="4"/>
  <c r="C8" i="4"/>
  <c r="C9" i="4"/>
  <c r="C10" i="4"/>
  <c r="C11" i="4"/>
  <c r="C12" i="4"/>
  <c r="C3" i="4"/>
  <c r="E3" i="4"/>
  <c r="D4" i="4"/>
  <c r="D5" i="4"/>
  <c r="D6" i="4"/>
  <c r="D7" i="4"/>
  <c r="D8" i="4"/>
  <c r="D9" i="4"/>
  <c r="D10" i="4"/>
  <c r="D11" i="4"/>
  <c r="D12" i="4"/>
  <c r="D3" i="4"/>
  <c r="B4" i="4"/>
  <c r="B5" i="4"/>
  <c r="B6" i="4"/>
  <c r="B7" i="4"/>
  <c r="B8" i="4"/>
  <c r="B9" i="4"/>
  <c r="B10" i="4"/>
  <c r="B11" i="4"/>
  <c r="B12" i="4"/>
  <c r="B3" i="4"/>
  <c r="C10" i="3"/>
  <c r="C9" i="3"/>
  <c r="C8" i="3"/>
  <c r="C7" i="3"/>
  <c r="C6" i="3"/>
  <c r="C5" i="3"/>
  <c r="C4" i="3"/>
  <c r="C3" i="3"/>
  <c r="C2" i="3"/>
  <c r="B25" i="1"/>
  <c r="B24" i="1"/>
  <c r="H19" i="1"/>
  <c r="H18" i="1"/>
  <c r="I27" i="1"/>
  <c r="I18" i="1"/>
  <c r="G19" i="1" s="1"/>
  <c r="G18" i="1"/>
  <c r="B23" i="1"/>
  <c r="H7" i="1"/>
  <c r="H8" i="1"/>
  <c r="H9" i="1"/>
  <c r="H10" i="1"/>
  <c r="H11" i="1"/>
  <c r="H12" i="1"/>
  <c r="H13" i="1"/>
  <c r="H14" i="1"/>
  <c r="H6" i="1"/>
  <c r="H5" i="1"/>
  <c r="I5" i="1" s="1"/>
  <c r="G5" i="1"/>
  <c r="B20" i="1"/>
  <c r="B7" i="1"/>
  <c r="B10" i="1" s="1"/>
  <c r="C16" i="2"/>
  <c r="I19" i="1" l="1"/>
  <c r="G6" i="1"/>
  <c r="I6" i="1" s="1"/>
  <c r="G7" i="1" s="1"/>
  <c r="I7" i="1" s="1"/>
  <c r="G8" i="1" s="1"/>
  <c r="I8" i="1" s="1"/>
  <c r="G9" i="1" s="1"/>
  <c r="I9" i="1" s="1"/>
  <c r="G10" i="1" s="1"/>
  <c r="I10" i="1" s="1"/>
  <c r="G11" i="1" s="1"/>
  <c r="I11" i="1" s="1"/>
  <c r="G12" i="1" s="1"/>
  <c r="I12" i="1" s="1"/>
  <c r="G13" i="1" s="1"/>
  <c r="I13" i="1" s="1"/>
  <c r="G14" i="1" s="1"/>
  <c r="I14" i="1" s="1"/>
  <c r="B12" i="1"/>
  <c r="B13" i="1" s="1"/>
  <c r="B14" i="1" s="1"/>
  <c r="B11" i="1"/>
  <c r="G20" i="1" l="1"/>
  <c r="H20" i="1" s="1"/>
  <c r="I20" i="1" l="1"/>
  <c r="G21" i="1" l="1"/>
  <c r="H21" i="1" s="1"/>
  <c r="I21" i="1" l="1"/>
  <c r="G22" i="1" l="1"/>
  <c r="H22" i="1" s="1"/>
  <c r="I22" i="1" l="1"/>
  <c r="G23" i="1" l="1"/>
  <c r="H23" i="1" s="1"/>
  <c r="I23" i="1" l="1"/>
  <c r="G24" i="1" s="1"/>
  <c r="H24" i="1" s="1"/>
  <c r="I24" i="1" l="1"/>
  <c r="G25" i="1" l="1"/>
  <c r="H25" i="1" s="1"/>
  <c r="I25" i="1" l="1"/>
  <c r="G26" i="1" l="1"/>
  <c r="H26" i="1" s="1"/>
  <c r="I26" i="1" l="1"/>
  <c r="G27" i="1" l="1"/>
  <c r="H27" i="1" s="1"/>
</calcChain>
</file>

<file path=xl/sharedStrings.xml><?xml version="1.0" encoding="utf-8"?>
<sst xmlns="http://schemas.openxmlformats.org/spreadsheetml/2006/main" count="89" uniqueCount="73">
  <si>
    <t>Asset Price</t>
  </si>
  <si>
    <t>Scrap Value</t>
  </si>
  <si>
    <t>Estimated Life Span (Years)</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</si>
  <si>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</si>
  <si>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</si>
  <si>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</si>
  <si>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</si>
  <si>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</si>
  <si>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</si>
  <si>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</si>
  <si>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</si>
  <si>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</si>
  <si>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</si>
  <si>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</si>
  <si>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Diminishing Balance Method</t>
  </si>
  <si>
    <t>Straight Line Method</t>
  </si>
  <si>
    <t>Year on Year Depreciation Amount</t>
  </si>
  <si>
    <t>Initial cost of the asset.</t>
  </si>
  <si>
    <t>Transportation, installation, setup and other acquisition costs.</t>
  </si>
  <si>
    <t>Total asset cost including additional asset costs.</t>
  </si>
  <si>
    <t>Estimated residual/salvage value at the end of useful life.</t>
  </si>
  <si>
    <t>Expected number of years over which the asset is depreciated.</t>
  </si>
  <si>
    <t>Formula</t>
  </si>
  <si>
    <t>Interpretation</t>
  </si>
  <si>
    <t>(Asset Price − Scrap Value) / Life</t>
  </si>
  <si>
    <t>Equal depreciation expense each year.</t>
  </si>
  <si>
    <t>Annual SL Depreciation / Asset Price</t>
  </si>
  <si>
    <t>Annual depreciation expressed as a percentage of asset price.</t>
  </si>
  <si>
    <t>1 − (Scrap Value / Asset Price)^(1 / Life)</t>
  </si>
  <si>
    <t>Rate calibrated so the asset approaches the scrap value over the stated life.</t>
  </si>
  <si>
    <t>Beginning Book Value × DB Rate</t>
  </si>
  <si>
    <t>Higher expense earlier; lower expense later.</t>
  </si>
  <si>
    <t>Beginning Book Value − DB Depreciation</t>
  </si>
  <si>
    <t>Closing carrying amount for each year.</t>
  </si>
  <si>
    <t>Additional Asset Cost</t>
  </si>
  <si>
    <t>Asset Price / Depreciable Cost</t>
  </si>
  <si>
    <t>Useful Life (Years)</t>
  </si>
  <si>
    <t>Key Output</t>
  </si>
  <si>
    <t>Straight-Line Annual Depreciation</t>
  </si>
  <si>
    <t>Straight-Line Rate</t>
  </si>
  <si>
    <t>Diminishing Balance Rate</t>
  </si>
  <si>
    <t>DB Year 2 Depreciation</t>
  </si>
  <si>
    <t>DB Year 4 Ending Book Value</t>
  </si>
  <si>
    <t>Key Information</t>
  </si>
  <si>
    <t>The source guideline requires calculation of asset price, annual Straight-Line depreciation, depreciation percentage, total depreciation, ending book value and balance; the Diminishing Balance rate and a 10-year schedule; advanced questions; and a presentation with visual graphs.</t>
  </si>
  <si>
    <t>Project Scope</t>
  </si>
  <si>
    <t>Conclusion</t>
  </si>
  <si>
    <t>Straight-Line produces a constant annual charge and reaches the scrap value only because the depreciable amount is evenly allocated. Diminishing Balance produces higher depreciation in earlier years and progressively lower charges, matching assets that lose value or become obsolete faster.</t>
  </si>
  <si>
    <t>Metric</t>
  </si>
  <si>
    <t>Formula / Value</t>
  </si>
  <si>
    <t>Balance amount should be 0</t>
  </si>
  <si>
    <t>Beginning Book Value</t>
  </si>
  <si>
    <t>Depreciation</t>
  </si>
  <si>
    <t>Ending Book Value</t>
  </si>
  <si>
    <t>In case of diminishing depreciation scrap value cannot be zero</t>
  </si>
  <si>
    <t>Question</t>
  </si>
  <si>
    <t>Answer</t>
  </si>
  <si>
    <t>Calculate annual depreciation using Straight-Line.</t>
  </si>
  <si>
    <t>Calculate total depreciation for the full life using Straight-Line.</t>
  </si>
  <si>
    <t>Find depreciated book value after life using Straight-Line.</t>
  </si>
  <si>
    <t>Calculate DB rate per year.</t>
  </si>
  <si>
    <t>Calculate depreciation in Year 2 using DB.</t>
  </si>
  <si>
    <t>Find book value in Year 4 using DB.</t>
  </si>
  <si>
    <t>Calculate total depreciation over full life using DB.</t>
  </si>
  <si>
    <t>Find book value after life using DB.</t>
  </si>
  <si>
    <t>Compare total depreciation under both methods.</t>
  </si>
  <si>
    <t>Sl. No.</t>
  </si>
  <si>
    <t>Straight-Line Depreciation</t>
  </si>
  <si>
    <t>Diminishing Balance Depreciation</t>
  </si>
  <si>
    <t>SL Ending BV</t>
  </si>
  <si>
    <t>DB Ending BV</t>
  </si>
  <si>
    <t>Insight</t>
  </si>
  <si>
    <t>Straight-Line depreciation remains constant at 45,000 per year. Diminishing Balance starts at about 102,835.88 in Year 1 and declines each year. Both methods allocate the same total depreciable amount of 450,000 and reach the 50,000 scrap value when modeled over the full 10-year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</si>
</sst>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_ ;[Red]\-[$$-409]#,##0.00\ "/>
  </numFmts>
  <fonts count="13" x14ac:knownFonts="1">
    <font>
      <sz val="11"/>
      <color theme="1"/>
      <name val="Calibri"/>
      <family val="2"/>
      <scheme val="minor"/>
    </font>
    <font>
      <sz val="14"/>
      <color theme="1"/>
      <name val="Times New Roman"/>
      <family val="1"/>
    </font>
    <font>
      <b/>
      <sz val="11"/>
      <color theme="1"/>
      <name val="Calibri"/>
      <family val="2"/>
      <scheme val="minor"/>
    </font>
    <font>
      <sz val="11"/>
      <name val="Calibri"/>
      <family val="2"/>
      <scheme val="minor"/>
    </font>
    <font>
      <b/>
      <sz val="12"/>
      <color rgb="FFFFFFFF"/>
      <name val="Calibri"/>
      <family val="2"/>
      <scheme val="minor"/>
    </font>
    <font>
      <b/>
      <sz val="14"/>
      <color theme="0"/>
      <name val="Calibri"/>
      <family val="2"/>
      <scheme val="minor"/>
    </font>
    <font>
      <b/>
      <sz val="28"/>
      <color theme="0"/>
      <name val="Calibri"/>
      <family val="2"/>
      <scheme val="minor"/>
    </font>
    <font>
      <b/>
      <sz val="16"/>
      <color theme="0"/>
      <name val="Calibri"/>
      <family val="2"/>
      <scheme val="minor"/>
    </font>
    <font>
      <b/>
      <sz val="12"/>
      <color theme="0"/>
      <name val="Calibri"/>
      <family val="2"/>
      <scheme val="minor"/>
    </font>
    <font>
      <sz val="12"/>
      <color theme="0"/>
      <name val="Calibri"/>
      <family val="2"/>
      <scheme val="minor"/>
    </font>
    <font>
      <sz val="12"/>
      <name val="Calibri"/>
      <family val="2"/>
      <scheme val="minor"/>
    </font>
    <font>
      <sz val="12"/>
      <color theme="1"/>
      <name val="Times New Roman"/>
      <family val="1"/>
    </font>
    <font>
      <sz val="12"/>
      <color theme="0"/>
      <name val="Times New Roman"/>
      <family val="1"/>
    </font>
  </fonts>
  <fills count="8">
    <fill>
      <patternFill patternType="none"/>
    </fill>
    <fill>
      <patternFill patternType="gray125"/>
    </fill>
    <fill>
      <patternFill patternType="solid">
        <fgColor theme="4"/>
        <bgColor rgb="FF4A7EBB"/>
      </patternFill>
    </fill>
    <fill>
      <patternFill patternType="solid">
        <fgColor theme="4"/>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79998168889431442"/>
        <bgColor rgb="FFD9E1F2"/>
      </patternFill>
    </fill>
    <fill>
      <patternFill patternType="solid">
        <fgColor theme="0"/>
        <bgColor indexed="64"/>
      </patternFill>
    </fill>
  </fills>
  <borders count="4">
    <border>
      <left/>
      <right/>
      <top/>
      <bottom/>
      <diagonal/>
    </border>
    <border>
      <left/>
      <right/>
      <top/>
      <bottom style="thin">
        <color rgb="FFD9E1F2"/>
      </bottom>
      <diagonal/>
    </border>
    <border>
      <left style="thin">
        <color indexed="64"/>
      </left>
      <right style="thin">
        <color indexed="64"/>
      </right>
      <top style="thin">
        <color indexed="64"/>
      </top>
      <bottom style="thin">
        <color indexed="64"/>
      </bottom>
      <diagonal/>
    </border>
    <border>
      <left/>
      <right/>
      <top style="thin">
        <color theme="0"/>
      </top>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1" xfId="0" applyBorder="1" applyAlignment="1">
      <alignment vertical="top" wrapText="1"/>
    </xf>
    <xf numFmtId="0" fontId="0" fillId="0" borderId="1" xfId="0" applyBorder="1" applyAlignment="1">
      <alignment vertical="top"/>
    </xf>
    <xf numFmtId="0" fontId="0" fillId="0" borderId="1" xfId="0" applyBorder="1"/>
    <xf numFmtId="0" fontId="3" fillId="0" borderId="1" xfId="0" applyFont="1" applyBorder="1"/>
    <xf numFmtId="4" fontId="0" fillId="0" borderId="1" xfId="0" applyNumberFormat="1" applyBorder="1"/>
    <xf numFmtId="1" fontId="0" fillId="0" borderId="1" xfId="0" applyNumberFormat="1" applyBorder="1"/>
    <xf numFmtId="0" fontId="0" fillId="0" borderId="0" xfId="0" applyAlignment="1">
      <alignment vertical="top" wrapText="1"/>
    </xf>
    <xf numFmtId="0" fontId="0" fillId="0" borderId="0" xfId="0" applyAlignment="1">
      <alignment vertical="top"/>
    </xf>
    <xf numFmtId="0" fontId="2" fillId="0" borderId="0" xfId="0" applyFont="1" applyAlignment="1">
      <alignment horizontal="center"/>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vertical="center"/>
    </xf>
    <xf numFmtId="164" fontId="3" fillId="0" borderId="0" xfId="0" applyNumberFormat="1" applyFont="1" applyAlignment="1">
      <alignment horizontal="center" vertical="center"/>
    </xf>
    <xf numFmtId="0" fontId="3" fillId="0" borderId="0" xfId="0" applyFont="1"/>
    <xf numFmtId="0" fontId="3" fillId="0" borderId="0" xfId="0" applyFont="1" applyAlignment="1">
      <alignment vertical="top"/>
    </xf>
    <xf numFmtId="10" fontId="3" fillId="0" borderId="0" xfId="0" applyNumberFormat="1" applyFont="1"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164" fontId="0" fillId="0" borderId="0" xfId="0" applyNumberFormat="1" applyAlignment="1">
      <alignment horizontal="center" vertical="center"/>
    </xf>
    <xf numFmtId="4" fontId="3" fillId="0" borderId="0" xfId="0" applyNumberFormat="1" applyFont="1" applyAlignment="1">
      <alignment vertical="top"/>
    </xf>
    <xf numFmtId="10" fontId="3" fillId="0" borderId="0" xfId="0" applyNumberFormat="1" applyFont="1" applyAlignment="1">
      <alignment vertical="top"/>
    </xf>
    <xf numFmtId="2" fontId="3" fillId="0" borderId="0" xfId="0" applyNumberFormat="1" applyFont="1" applyAlignment="1">
      <alignment vertical="top"/>
    </xf>
    <xf numFmtId="0" fontId="4" fillId="2" borderId="0" xfId="0" applyFont="1" applyFill="1"/>
    <xf numFmtId="0" fontId="3" fillId="5" borderId="0" xfId="0" applyFont="1" applyFill="1"/>
    <xf numFmtId="0" fontId="5" fillId="3" borderId="0" xfId="0" applyFont="1" applyFill="1"/>
    <xf numFmtId="0" fontId="5" fillId="3" borderId="0" xfId="0" applyFont="1" applyFill="1" applyAlignment="1">
      <alignment horizont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4" fillId="2" borderId="2" xfId="0" applyFont="1" applyFill="1" applyBorder="1" applyAlignment="1">
      <alignment horizontal="center" vertical="center" wrapText="1"/>
    </xf>
    <xf numFmtId="0" fontId="0" fillId="0" borderId="3" xfId="0" applyBorder="1"/>
    <xf numFmtId="0" fontId="0" fillId="6" borderId="0" xfId="0" applyFill="1" applyAlignment="1">
      <alignment vertical="top" wrapText="1"/>
    </xf>
    <xf numFmtId="0" fontId="5" fillId="3"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center" vertical="top" wrapText="1"/>
    </xf>
    <xf numFmtId="0" fontId="6" fillId="4" borderId="0" xfId="0" applyFont="1" applyFill="1" applyAlignment="1">
      <alignment horizontal="center" vertical="center"/>
    </xf>
    <xf numFmtId="0" fontId="7" fillId="4" borderId="0" xfId="0" applyFont="1" applyFill="1" applyAlignment="1">
      <alignment horizontal="center" vertical="center"/>
    </xf>
    <xf numFmtId="0" fontId="0" fillId="7" borderId="2" xfId="0" applyFill="1" applyBorder="1"/>
    <xf numFmtId="4" fontId="0" fillId="7" borderId="2"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Ending Book Value by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Dashboard!$D$2</c:f>
              <c:strCache>
                <c:ptCount val="1"/>
                <c:pt idx="0">
                  <c:v>SL Ending BV</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val>
            <c:numRef>
              <c:f>Dashboard!$D$3:$D$12</c:f>
              <c:numCache>
                <c:formatCode>#,##0.00</c:formatCode>
                <c:ptCount val="10"/>
                <c:pt idx="0">
                  <c:v>455000</c:v>
                </c:pt>
                <c:pt idx="1">
                  <c:v>410000</c:v>
                </c:pt>
                <c:pt idx="2">
                  <c:v>365000</c:v>
                </c:pt>
                <c:pt idx="3">
                  <c:v>320000</c:v>
                </c:pt>
                <c:pt idx="4">
                  <c:v>275000</c:v>
                </c:pt>
                <c:pt idx="5">
                  <c:v>230000</c:v>
                </c:pt>
                <c:pt idx="6">
                  <c:v>185000</c:v>
                </c:pt>
                <c:pt idx="7">
                  <c:v>140000</c:v>
                </c:pt>
                <c:pt idx="8">
                  <c:v>95000</c:v>
                </c:pt>
                <c:pt idx="9">
                  <c:v>50000</c:v>
                </c:pt>
              </c:numCache>
            </c:numRef>
          </c:val>
          <c:smooth val="0"/>
          <c:extLst>
            <c:ext xmlns:c16="http://schemas.microsoft.com/office/drawing/2014/chart" uri="{C3380CC4-5D6E-409C-BE32-E72D297353CC}">
              <c16:uniqueId val="{00000000-BAC8-4853-AC18-1718E54A697B}"/>
            </c:ext>
          </c:extLst>
        </c:ser>
        <c:ser>
          <c:idx val="1"/>
          <c:order val="1"/>
          <c:tx>
            <c:strRef>
              <c:f>Dashboard!$E$2</c:f>
              <c:strCache>
                <c:ptCount val="1"/>
                <c:pt idx="0">
                  <c:v>DB Ending BV</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val>
            <c:numRef>
              <c:f>Dashboard!$E$3:$E$12</c:f>
              <c:numCache>
                <c:formatCode>#,##0.00</c:formatCode>
                <c:ptCount val="10"/>
                <c:pt idx="0">
                  <c:v>397164.11736214074</c:v>
                </c:pt>
                <c:pt idx="1">
                  <c:v>315478.67224009661</c:v>
                </c:pt>
                <c:pt idx="2">
                  <c:v>250593.61681363612</c:v>
                </c:pt>
                <c:pt idx="3">
                  <c:v>199053.58527674861</c:v>
                </c:pt>
                <c:pt idx="4">
                  <c:v>158113.88300841895</c:v>
                </c:pt>
                <c:pt idx="5">
                  <c:v>125594.321575479</c:v>
                </c:pt>
                <c:pt idx="6">
                  <c:v>99763.115748443975</c:v>
                </c:pt>
                <c:pt idx="7">
                  <c:v>79244.659623055661</c:v>
                </c:pt>
                <c:pt idx="8">
                  <c:v>62946.270589708351</c:v>
                </c:pt>
                <c:pt idx="9">
                  <c:v>50000</c:v>
                </c:pt>
              </c:numCache>
            </c:numRef>
          </c:val>
          <c:smooth val="0"/>
          <c:extLst>
            <c:ext xmlns:c16="http://schemas.microsoft.com/office/drawing/2014/chart" uri="{C3380CC4-5D6E-409C-BE32-E72D297353CC}">
              <c16:uniqueId val="{00000001-BAC8-4853-AC18-1718E54A697B}"/>
            </c:ext>
          </c:extLst>
        </c:ser>
        <c:dLbls>
          <c:showLegendKey val="0"/>
          <c:showVal val="0"/>
          <c:showCatName val="0"/>
          <c:showSerName val="0"/>
          <c:showPercent val="0"/>
          <c:showBubbleSize val="0"/>
        </c:dLbls>
        <c:smooth val="0"/>
        <c:axId val="646625136"/>
        <c:axId val="421152560"/>
        <c:extLst>
          <c:ext xmlns:c15="http://schemas.microsoft.com/office/drawing/2012/chart" uri="{02D57815-91ED-43cb-92C2-25804820EDAC}">
            <c15:filteredLineSeries>
              <c15:ser>
                <c:idx val="2"/>
                <c:order val="2"/>
                <c:tx>
                  <c:strRef>
                    <c:extLst>
                      <c:ext uri="{02D57815-91ED-43cb-92C2-25804820EDAC}">
                        <c15:formulaRef>
                          <c15:sqref>Dashboard!$A$3</c15:sqref>
                        </c15:formulaRef>
                      </c:ext>
                    </c:extLst>
                    <c:strCache>
                      <c:ptCount val="1"/>
                      <c:pt idx="0">
                        <c:v>1</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val>
                  <c:numRef>
                    <c:extLst>
                      <c:ext uri="{02D57815-91ED-43cb-92C2-25804820EDAC}">
                        <c15:formulaRef>
                          <c15:sqref>Dashboard!$A$4:$A$12</c15:sqref>
                        </c15:formulaRef>
                      </c:ext>
                    </c:extLst>
                    <c:numCache>
                      <c:formatCode>General</c:formatCode>
                      <c:ptCount val="9"/>
                      <c:pt idx="0">
                        <c:v>2</c:v>
                      </c:pt>
                      <c:pt idx="1">
                        <c:v>3</c:v>
                      </c:pt>
                      <c:pt idx="2">
                        <c:v>4</c:v>
                      </c:pt>
                      <c:pt idx="3">
                        <c:v>5</c:v>
                      </c:pt>
                      <c:pt idx="4">
                        <c:v>6</c:v>
                      </c:pt>
                      <c:pt idx="5">
                        <c:v>7</c:v>
                      </c:pt>
                      <c:pt idx="6">
                        <c:v>8</c:v>
                      </c:pt>
                      <c:pt idx="7">
                        <c:v>9</c:v>
                      </c:pt>
                      <c:pt idx="8">
                        <c:v>10</c:v>
                      </c:pt>
                    </c:numCache>
                  </c:numRef>
                </c:val>
                <c:smooth val="0"/>
                <c:extLst>
                  <c:ext xmlns:c16="http://schemas.microsoft.com/office/drawing/2014/chart" uri="{C3380CC4-5D6E-409C-BE32-E72D297353CC}">
                    <c16:uniqueId val="{00000002-BAC8-4853-AC18-1718E54A697B}"/>
                  </c:ext>
                </c:extLst>
              </c15:ser>
            </c15:filteredLineSeries>
          </c:ext>
        </c:extLst>
      </c:lineChart>
      <c:catAx>
        <c:axId val="646625136"/>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52560"/>
        <c:crosses val="autoZero"/>
        <c:auto val="1"/>
        <c:lblAlgn val="ctr"/>
        <c:lblOffset val="100"/>
        <c:noMultiLvlLbl val="0"/>
      </c:catAx>
      <c:valAx>
        <c:axId val="421152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625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Annual Depreciation by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Dashboard!$B$2</c:f>
              <c:strCache>
                <c:ptCount val="1"/>
                <c:pt idx="0">
                  <c:v>Straight-Line Depreciation</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val>
            <c:numRef>
              <c:f>Dashboard!$B$3:$B$12</c:f>
              <c:numCache>
                <c:formatCode>#,##0.00</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smooth val="0"/>
          <c:extLst>
            <c:ext xmlns:c16="http://schemas.microsoft.com/office/drawing/2014/chart" uri="{C3380CC4-5D6E-409C-BE32-E72D297353CC}">
              <c16:uniqueId val="{00000000-7C77-40AE-8ECD-C78892AB1D6B}"/>
            </c:ext>
          </c:extLst>
        </c:ser>
        <c:ser>
          <c:idx val="1"/>
          <c:order val="1"/>
          <c:tx>
            <c:strRef>
              <c:f>Dashboard!$C$2</c:f>
              <c:strCache>
                <c:ptCount val="1"/>
                <c:pt idx="0">
                  <c:v>Diminishing Balance Depreciation</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val>
            <c:numRef>
              <c:f>Dashboard!$C$3:$C$12</c:f>
              <c:numCache>
                <c:formatCode>#,##0.00</c:formatCode>
                <c:ptCount val="10"/>
                <c:pt idx="0">
                  <c:v>102835.88263785925</c:v>
                </c:pt>
                <c:pt idx="1">
                  <c:v>81685.445122044126</c:v>
                </c:pt>
                <c:pt idx="2">
                  <c:v>64885.05542646048</c:v>
                </c:pt>
                <c:pt idx="3">
                  <c:v>51540.031536887516</c:v>
                </c:pt>
                <c:pt idx="4">
                  <c:v>40939.70226832966</c:v>
                </c:pt>
                <c:pt idx="5">
                  <c:v>32519.561432939961</c:v>
                </c:pt>
                <c:pt idx="6">
                  <c:v>25831.205827035024</c:v>
                </c:pt>
                <c:pt idx="7">
                  <c:v>20518.456125388308</c:v>
                </c:pt>
                <c:pt idx="8">
                  <c:v>16298.389033347312</c:v>
                </c:pt>
                <c:pt idx="9">
                  <c:v>12946.27058970836</c:v>
                </c:pt>
              </c:numCache>
            </c:numRef>
          </c:val>
          <c:smooth val="0"/>
          <c:extLst>
            <c:ext xmlns:c16="http://schemas.microsoft.com/office/drawing/2014/chart" uri="{C3380CC4-5D6E-409C-BE32-E72D297353CC}">
              <c16:uniqueId val="{00000001-7C77-40AE-8ECD-C78892AB1D6B}"/>
            </c:ext>
          </c:extLst>
        </c:ser>
        <c:dLbls>
          <c:showLegendKey val="0"/>
          <c:showVal val="0"/>
          <c:showCatName val="0"/>
          <c:showSerName val="0"/>
          <c:showPercent val="0"/>
          <c:showBubbleSize val="0"/>
        </c:dLbls>
        <c:smooth val="0"/>
        <c:axId val="1027825856"/>
        <c:axId val="421161200"/>
        <c:extLst>
          <c:ext xmlns:c15="http://schemas.microsoft.com/office/drawing/2012/chart" uri="{02D57815-91ED-43cb-92C2-25804820EDAC}">
            <c15:filteredLineSeries>
              <c15:ser>
                <c:idx val="2"/>
                <c:order val="2"/>
                <c:tx>
                  <c:strRef>
                    <c:extLst>
                      <c:ext uri="{02D57815-91ED-43cb-92C2-25804820EDAC}">
                        <c15:formulaRef>
                          <c15:sqref>Dashboard!$A$3</c15:sqref>
                        </c15:formulaRef>
                      </c:ext>
                    </c:extLst>
                    <c:strCache>
                      <c:ptCount val="1"/>
                      <c:pt idx="0">
                        <c:v>1</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val>
                  <c:numRef>
                    <c:extLst>
                      <c:ext uri="{02D57815-91ED-43cb-92C2-25804820EDAC}">
                        <c15:formulaRef>
                          <c15:sqref>Dashboard!$A$4:$A$12</c15:sqref>
                        </c15:formulaRef>
                      </c:ext>
                    </c:extLst>
                    <c:numCache>
                      <c:formatCode>General</c:formatCode>
                      <c:ptCount val="9"/>
                      <c:pt idx="0">
                        <c:v>2</c:v>
                      </c:pt>
                      <c:pt idx="1">
                        <c:v>3</c:v>
                      </c:pt>
                      <c:pt idx="2">
                        <c:v>4</c:v>
                      </c:pt>
                      <c:pt idx="3">
                        <c:v>5</c:v>
                      </c:pt>
                      <c:pt idx="4">
                        <c:v>6</c:v>
                      </c:pt>
                      <c:pt idx="5">
                        <c:v>7</c:v>
                      </c:pt>
                      <c:pt idx="6">
                        <c:v>8</c:v>
                      </c:pt>
                      <c:pt idx="7">
                        <c:v>9</c:v>
                      </c:pt>
                      <c:pt idx="8">
                        <c:v>10</c:v>
                      </c:pt>
                    </c:numCache>
                  </c:numRef>
                </c:val>
                <c:smooth val="0"/>
                <c:extLst>
                  <c:ext xmlns:c16="http://schemas.microsoft.com/office/drawing/2014/chart" uri="{C3380CC4-5D6E-409C-BE32-E72D297353CC}">
                    <c16:uniqueId val="{00000002-7C77-40AE-8ECD-C78892AB1D6B}"/>
                  </c:ext>
                </c:extLst>
              </c15:ser>
            </c15:filteredLineSeries>
          </c:ext>
        </c:extLst>
      </c:lineChart>
      <c:catAx>
        <c:axId val="1027825856"/>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61200"/>
        <c:crosses val="autoZero"/>
        <c:auto val="1"/>
        <c:lblAlgn val="ctr"/>
        <c:lblOffset val="100"/>
        <c:noMultiLvlLbl val="0"/>
      </c:catAx>
      <c:valAx>
        <c:axId val="421161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25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1</xdr:rowOff>
    </xdr:from>
    <xdr:to>
      <xdr:col>7</xdr:col>
      <xdr:colOff>7620</xdr:colOff>
      <xdr:row>5</xdr:row>
      <xdr:rowOff>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851660" y="182881"/>
          <a:ext cx="6515100" cy="7315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a:solidFill>
                <a:srgbClr val="7030A0"/>
              </a:solidFill>
              <a:effectLst/>
              <a:latin typeface="+mn-lt"/>
              <a:ea typeface="+mn-ea"/>
              <a:cs typeface="+mn-cs"/>
            </a:rPr>
            <a:t>     </a:t>
          </a:r>
          <a:r>
            <a:rPr lang="en-US" sz="2000" b="0" i="0">
              <a:solidFill>
                <a:schemeClr val="bg1"/>
              </a:solidFill>
              <a:effectLst/>
              <a:latin typeface="+mn-lt"/>
              <a:ea typeface="+mn-ea"/>
              <a:cs typeface="+mn-cs"/>
            </a:rPr>
            <a:t>Comparative Analysis of Depreciation Methods: Straight-Line vs. Diminishing Balance</a:t>
          </a:r>
          <a:endParaRPr lang="en-US" sz="20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606462</xdr:colOff>
      <xdr:row>13</xdr:row>
      <xdr:rowOff>166968</xdr:rowOff>
    </xdr:from>
    <xdr:to>
      <xdr:col>13</xdr:col>
      <xdr:colOff>0</xdr:colOff>
      <xdr:row>27</xdr:row>
      <xdr:rowOff>170330</xdr:rowOff>
    </xdr:to>
    <xdr:graphicFrame macro="">
      <xdr:nvGraphicFramePr>
        <xdr:cNvPr id="2" name="Chart 1">
          <a:extLst>
            <a:ext uri="{FF2B5EF4-FFF2-40B4-BE49-F238E27FC236}">
              <a16:creationId xmlns:a16="http://schemas.microsoft.com/office/drawing/2014/main" id="{A46E77A8-F8E8-2A5C-5050-68C8FBFAC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2689</xdr:colOff>
      <xdr:row>0</xdr:row>
      <xdr:rowOff>175931</xdr:rowOff>
    </xdr:from>
    <xdr:to>
      <xdr:col>13</xdr:col>
      <xdr:colOff>0</xdr:colOff>
      <xdr:row>13</xdr:row>
      <xdr:rowOff>0</xdr:rowOff>
    </xdr:to>
    <xdr:graphicFrame macro="">
      <xdr:nvGraphicFramePr>
        <xdr:cNvPr id="3" name="Chart 2">
          <a:extLst>
            <a:ext uri="{FF2B5EF4-FFF2-40B4-BE49-F238E27FC236}">
              <a16:creationId xmlns:a16="http://schemas.microsoft.com/office/drawing/2014/main" id="{7843AC22-96DE-D0B6-4B5D-C2D1F22B2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H23"/>
  <sheetViews>
    <sheetView workbookViewId="0">
      <selection activeCell="B14" sqref="B14:C18"/>
    </sheetView>
  </sheetViews>
  <sheetFormatPr defaultRowHeight="14.4" x14ac:dyDescent="0.3"/>
  <cols>
    <col min="2" max="2" width="29.33203125" bestFit="1" customWidth="1"/>
    <col min="3" max="3" width="10.44140625" bestFit="1" customWidth="1"/>
    <col min="5" max="5" width="28.5546875" bestFit="1" customWidth="1"/>
  </cols>
  <sheetData>
    <row r="7" spans="2:8" ht="18" x14ac:dyDescent="0.3">
      <c r="B7" s="38" t="s">
        <v>45</v>
      </c>
      <c r="C7" s="38"/>
      <c r="D7" s="38"/>
      <c r="E7" s="38"/>
      <c r="F7" s="38"/>
      <c r="G7" s="38"/>
    </row>
    <row r="8" spans="2:8" ht="14.4" customHeight="1" x14ac:dyDescent="0.3">
      <c r="B8" s="39" t="s">
        <v>44</v>
      </c>
      <c r="C8" s="39"/>
      <c r="D8" s="39"/>
      <c r="E8" s="39"/>
      <c r="F8" s="39"/>
      <c r="G8" s="39"/>
      <c r="H8" s="11"/>
    </row>
    <row r="9" spans="2:8" x14ac:dyDescent="0.3">
      <c r="B9" s="39"/>
      <c r="C9" s="39"/>
      <c r="D9" s="39"/>
      <c r="E9" s="39"/>
      <c r="F9" s="39"/>
      <c r="G9" s="39"/>
      <c r="H9" s="11"/>
    </row>
    <row r="10" spans="2:8" x14ac:dyDescent="0.3">
      <c r="B10" s="39"/>
      <c r="C10" s="39"/>
      <c r="D10" s="39"/>
      <c r="E10" s="39"/>
      <c r="F10" s="39"/>
      <c r="G10" s="39"/>
      <c r="H10" s="11"/>
    </row>
    <row r="11" spans="2:8" x14ac:dyDescent="0.3">
      <c r="B11" s="39"/>
      <c r="C11" s="39"/>
      <c r="D11" s="39"/>
      <c r="E11" s="39"/>
      <c r="F11" s="39"/>
      <c r="G11" s="39"/>
      <c r="H11" s="11"/>
    </row>
    <row r="12" spans="2:8" x14ac:dyDescent="0.3">
      <c r="B12" s="8"/>
      <c r="C12" s="8"/>
      <c r="D12" s="9"/>
      <c r="E12" s="9"/>
    </row>
    <row r="13" spans="2:8" ht="18" x14ac:dyDescent="0.35">
      <c r="B13" s="28" t="s">
        <v>43</v>
      </c>
      <c r="C13" s="10"/>
      <c r="E13" s="27" t="s">
        <v>37</v>
      </c>
    </row>
    <row r="14" spans="2:8" x14ac:dyDescent="0.3">
      <c r="B14" s="5" t="s">
        <v>10</v>
      </c>
      <c r="C14" s="6">
        <v>450000</v>
      </c>
      <c r="E14" s="26" t="s">
        <v>38</v>
      </c>
    </row>
    <row r="15" spans="2:8" x14ac:dyDescent="0.3">
      <c r="B15" s="5" t="s">
        <v>34</v>
      </c>
      <c r="C15" s="6">
        <v>50000</v>
      </c>
      <c r="E15" s="26" t="s">
        <v>39</v>
      </c>
    </row>
    <row r="16" spans="2:8" x14ac:dyDescent="0.3">
      <c r="B16" s="5" t="s">
        <v>35</v>
      </c>
      <c r="C16" s="6">
        <f>C14+C15</f>
        <v>500000</v>
      </c>
      <c r="E16" s="26" t="s">
        <v>40</v>
      </c>
    </row>
    <row r="17" spans="2:7" x14ac:dyDescent="0.3">
      <c r="B17" s="5" t="s">
        <v>1</v>
      </c>
      <c r="C17" s="6">
        <v>50000</v>
      </c>
      <c r="E17" s="26" t="s">
        <v>41</v>
      </c>
    </row>
    <row r="18" spans="2:7" x14ac:dyDescent="0.3">
      <c r="B18" s="5" t="s">
        <v>36</v>
      </c>
      <c r="C18" s="7">
        <v>10</v>
      </c>
      <c r="E18" s="26" t="s">
        <v>42</v>
      </c>
    </row>
    <row r="20" spans="2:7" ht="18" x14ac:dyDescent="0.3">
      <c r="B20" s="38" t="s">
        <v>46</v>
      </c>
      <c r="C20" s="38"/>
      <c r="D20" s="38"/>
      <c r="E20" s="38"/>
      <c r="F20" s="38"/>
      <c r="G20" s="38"/>
    </row>
    <row r="21" spans="2:7" ht="14.4" customHeight="1" x14ac:dyDescent="0.3">
      <c r="B21" s="40" t="s">
        <v>47</v>
      </c>
      <c r="C21" s="40"/>
      <c r="D21" s="40"/>
      <c r="E21" s="40"/>
      <c r="F21" s="40"/>
      <c r="G21" s="40"/>
    </row>
    <row r="22" spans="2:7" x14ac:dyDescent="0.3">
      <c r="B22" s="40"/>
      <c r="C22" s="40"/>
      <c r="D22" s="40"/>
      <c r="E22" s="40"/>
      <c r="F22" s="40"/>
      <c r="G22" s="40"/>
    </row>
    <row r="23" spans="2:7" x14ac:dyDescent="0.3">
      <c r="B23" s="40"/>
      <c r="C23" s="40"/>
      <c r="D23" s="40"/>
      <c r="E23" s="40"/>
      <c r="F23" s="40"/>
      <c r="G23" s="40"/>
    </row>
  </sheetData>
  <mergeCells count="4">
    <mergeCell ref="B7:G7"/>
    <mergeCell ref="B8:G11"/>
    <mergeCell ref="B21:G23"/>
    <mergeCell ref="B20:G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topLeftCell="C13" workbookViewId="0">
      <selection activeCell="F17" sqref="F17:I27"/>
    </sheetView>
  </sheetViews>
  <sheetFormatPr defaultColWidth="8.6640625" defaultRowHeight="18" x14ac:dyDescent="0.3"/>
  <cols>
    <col min="1" max="1" width="40.21875" style="1" bestFit="1" customWidth="1"/>
    <col min="2" max="2" width="30.6640625" style="1" bestFit="1" customWidth="1"/>
    <col min="3" max="3" width="31" style="1" customWidth="1"/>
    <col min="4" max="4" width="52.6640625" style="1" bestFit="1" customWidth="1"/>
    <col min="5" max="6" width="8.6640625" style="1"/>
    <col min="7" max="7" width="21.6640625" style="1" bestFit="1" customWidth="1"/>
    <col min="8" max="8" width="34.109375" style="1" bestFit="1" customWidth="1"/>
    <col min="9" max="9" width="18.77734375" style="1" bestFit="1" customWidth="1"/>
    <col min="10" max="16384" width="8.6640625" style="1"/>
  </cols>
  <sheetData>
    <row r="1" spans="1:10" ht="36.6" x14ac:dyDescent="0.3">
      <c r="A1" s="41" t="s">
        <v>7</v>
      </c>
      <c r="B1" s="41"/>
      <c r="C1" s="41"/>
      <c r="D1" s="41"/>
      <c r="E1" s="41"/>
      <c r="F1" s="41"/>
      <c r="G1" s="41"/>
      <c r="H1" s="41"/>
      <c r="I1" s="41"/>
    </row>
    <row r="3" spans="1:10" ht="21" x14ac:dyDescent="0.3">
      <c r="A3" s="42" t="s">
        <v>15</v>
      </c>
      <c r="B3" s="42"/>
      <c r="C3" s="42"/>
      <c r="D3" s="42"/>
      <c r="E3" s="42"/>
      <c r="F3" s="42"/>
      <c r="G3" s="42"/>
      <c r="H3" s="42"/>
      <c r="I3" s="42"/>
    </row>
    <row r="4" spans="1:10" s="33" customFormat="1" ht="15.6" x14ac:dyDescent="0.3">
      <c r="A4" s="30" t="s">
        <v>48</v>
      </c>
      <c r="B4" s="30" t="s">
        <v>49</v>
      </c>
      <c r="C4" s="29" t="s">
        <v>22</v>
      </c>
      <c r="D4" s="29" t="s">
        <v>23</v>
      </c>
      <c r="E4" s="31"/>
      <c r="F4" s="29" t="s">
        <v>6</v>
      </c>
      <c r="G4" s="29" t="s">
        <v>51</v>
      </c>
      <c r="H4" s="29" t="s">
        <v>16</v>
      </c>
      <c r="I4" s="29" t="s">
        <v>53</v>
      </c>
      <c r="J4" s="32"/>
    </row>
    <row r="5" spans="1:10" x14ac:dyDescent="0.3">
      <c r="A5" s="13" t="s">
        <v>10</v>
      </c>
      <c r="B5" s="14">
        <v>450000</v>
      </c>
      <c r="C5" s="12"/>
      <c r="D5" s="15" t="s">
        <v>17</v>
      </c>
      <c r="E5" s="12"/>
      <c r="F5" s="19">
        <v>1</v>
      </c>
      <c r="G5" s="20">
        <f>$B$7</f>
        <v>500000</v>
      </c>
      <c r="H5" s="20">
        <f>$B$10</f>
        <v>45000</v>
      </c>
      <c r="I5" s="20">
        <f>G5-H5</f>
        <v>455000</v>
      </c>
    </row>
    <row r="6" spans="1:10" x14ac:dyDescent="0.3">
      <c r="A6" s="13" t="s">
        <v>12</v>
      </c>
      <c r="B6" s="14">
        <v>50000</v>
      </c>
      <c r="C6" s="12"/>
      <c r="D6" s="15" t="s">
        <v>18</v>
      </c>
      <c r="E6" s="12"/>
      <c r="F6" s="19">
        <v>2</v>
      </c>
      <c r="G6" s="20">
        <f>I5</f>
        <v>455000</v>
      </c>
      <c r="H6" s="20">
        <f>$B$10</f>
        <v>45000</v>
      </c>
      <c r="I6" s="20">
        <f t="shared" ref="I6:I14" si="0">G6-H6</f>
        <v>410000</v>
      </c>
    </row>
    <row r="7" spans="1:10" x14ac:dyDescent="0.3">
      <c r="A7" s="13" t="s">
        <v>0</v>
      </c>
      <c r="B7" s="14">
        <f>SUM(B5:B6)</f>
        <v>500000</v>
      </c>
      <c r="C7" s="12"/>
      <c r="D7" s="15" t="s">
        <v>19</v>
      </c>
      <c r="E7" s="12"/>
      <c r="F7" s="19">
        <v>3</v>
      </c>
      <c r="G7" s="20">
        <f t="shared" ref="G7:G14" si="1">I6</f>
        <v>410000</v>
      </c>
      <c r="H7" s="20">
        <f t="shared" ref="H7:H14" si="2">$B$10</f>
        <v>45000</v>
      </c>
      <c r="I7" s="20">
        <f t="shared" si="0"/>
        <v>365000</v>
      </c>
    </row>
    <row r="8" spans="1:10" x14ac:dyDescent="0.3">
      <c r="A8" s="13" t="s">
        <v>1</v>
      </c>
      <c r="B8" s="14">
        <v>50000</v>
      </c>
      <c r="C8" s="12"/>
      <c r="D8" s="15" t="s">
        <v>20</v>
      </c>
      <c r="E8" s="12"/>
      <c r="F8" s="19">
        <v>4</v>
      </c>
      <c r="G8" s="20">
        <f t="shared" si="1"/>
        <v>365000</v>
      </c>
      <c r="H8" s="20">
        <f t="shared" si="2"/>
        <v>45000</v>
      </c>
      <c r="I8" s="20">
        <f t="shared" si="0"/>
        <v>320000</v>
      </c>
    </row>
    <row r="9" spans="1:10" x14ac:dyDescent="0.3">
      <c r="A9" s="13" t="s">
        <v>2</v>
      </c>
      <c r="B9" s="12">
        <v>10</v>
      </c>
      <c r="C9" s="12"/>
      <c r="D9" s="15" t="s">
        <v>21</v>
      </c>
      <c r="E9" s="12"/>
      <c r="F9" s="19">
        <v>5</v>
      </c>
      <c r="G9" s="20">
        <f t="shared" si="1"/>
        <v>320000</v>
      </c>
      <c r="H9" s="20">
        <f t="shared" si="2"/>
        <v>45000</v>
      </c>
      <c r="I9" s="20">
        <f t="shared" si="0"/>
        <v>275000</v>
      </c>
    </row>
    <row r="10" spans="1:10" x14ac:dyDescent="0.3">
      <c r="A10" s="13" t="s">
        <v>8</v>
      </c>
      <c r="B10" s="14">
        <f>(B7-B8)/B9</f>
        <v>45000</v>
      </c>
      <c r="C10" s="16" t="s">
        <v>24</v>
      </c>
      <c r="D10" s="16" t="s">
        <v>25</v>
      </c>
      <c r="E10" s="12"/>
      <c r="F10" s="19">
        <v>6</v>
      </c>
      <c r="G10" s="20">
        <f t="shared" si="1"/>
        <v>275000</v>
      </c>
      <c r="H10" s="20">
        <f t="shared" si="2"/>
        <v>45000</v>
      </c>
      <c r="I10" s="20">
        <f t="shared" si="0"/>
        <v>230000</v>
      </c>
    </row>
    <row r="11" spans="1:10" x14ac:dyDescent="0.3">
      <c r="A11" s="13" t="s">
        <v>11</v>
      </c>
      <c r="B11" s="17">
        <f>B10/B7</f>
        <v>0.09</v>
      </c>
      <c r="C11" s="16" t="s">
        <v>26</v>
      </c>
      <c r="D11" s="16" t="s">
        <v>27</v>
      </c>
      <c r="E11" s="12"/>
      <c r="F11" s="19">
        <v>7</v>
      </c>
      <c r="G11" s="20">
        <f t="shared" si="1"/>
        <v>230000</v>
      </c>
      <c r="H11" s="20">
        <f t="shared" si="2"/>
        <v>45000</v>
      </c>
      <c r="I11" s="20">
        <f t="shared" si="0"/>
        <v>185000</v>
      </c>
    </row>
    <row r="12" spans="1:10" x14ac:dyDescent="0.3">
      <c r="A12" s="13" t="s">
        <v>4</v>
      </c>
      <c r="B12" s="14">
        <f>B9*B10</f>
        <v>450000</v>
      </c>
      <c r="C12" s="12"/>
      <c r="D12" s="12"/>
      <c r="E12" s="12"/>
      <c r="F12" s="19">
        <v>8</v>
      </c>
      <c r="G12" s="20">
        <f t="shared" si="1"/>
        <v>185000</v>
      </c>
      <c r="H12" s="20">
        <f t="shared" si="2"/>
        <v>45000</v>
      </c>
      <c r="I12" s="20">
        <f t="shared" si="0"/>
        <v>140000</v>
      </c>
    </row>
    <row r="13" spans="1:10" x14ac:dyDescent="0.3">
      <c r="A13" s="13" t="s">
        <v>3</v>
      </c>
      <c r="B13" s="14">
        <f>B7-B12</f>
        <v>50000</v>
      </c>
      <c r="C13" s="12"/>
      <c r="D13" s="12"/>
      <c r="E13" s="12"/>
      <c r="F13" s="19">
        <v>9</v>
      </c>
      <c r="G13" s="20">
        <f t="shared" si="1"/>
        <v>140000</v>
      </c>
      <c r="H13" s="20">
        <f t="shared" si="2"/>
        <v>45000</v>
      </c>
      <c r="I13" s="20">
        <f t="shared" si="0"/>
        <v>95000</v>
      </c>
    </row>
    <row r="14" spans="1:10" x14ac:dyDescent="0.3">
      <c r="A14" s="13" t="s">
        <v>5</v>
      </c>
      <c r="B14" s="14">
        <f>B8-B13</f>
        <v>0</v>
      </c>
      <c r="C14" s="12"/>
      <c r="D14" s="12" t="s">
        <v>50</v>
      </c>
      <c r="E14" s="12"/>
      <c r="F14" s="19">
        <v>10</v>
      </c>
      <c r="G14" s="20">
        <f t="shared" si="1"/>
        <v>95000</v>
      </c>
      <c r="H14" s="20">
        <f t="shared" si="2"/>
        <v>45000</v>
      </c>
      <c r="I14" s="20">
        <f t="shared" si="0"/>
        <v>50000</v>
      </c>
    </row>
    <row r="16" spans="1:10" ht="21" x14ac:dyDescent="0.3">
      <c r="A16" s="42" t="s">
        <v>14</v>
      </c>
      <c r="B16" s="42"/>
      <c r="C16" s="42"/>
      <c r="D16" s="42"/>
      <c r="E16" s="42"/>
      <c r="F16" s="42"/>
      <c r="G16" s="42"/>
      <c r="H16" s="42"/>
      <c r="I16" s="42"/>
    </row>
    <row r="17" spans="1:9" s="33" customFormat="1" ht="15.6" x14ac:dyDescent="0.3">
      <c r="A17" s="29" t="s">
        <v>48</v>
      </c>
      <c r="B17" s="29" t="s">
        <v>49</v>
      </c>
      <c r="C17" s="29" t="s">
        <v>22</v>
      </c>
      <c r="D17" s="29" t="s">
        <v>23</v>
      </c>
      <c r="E17" s="34"/>
      <c r="F17" s="29" t="s">
        <v>6</v>
      </c>
      <c r="G17" s="29" t="s">
        <v>51</v>
      </c>
      <c r="H17" s="29" t="s">
        <v>16</v>
      </c>
      <c r="I17" s="29" t="s">
        <v>53</v>
      </c>
    </row>
    <row r="18" spans="1:9" x14ac:dyDescent="0.3">
      <c r="A18" s="13" t="s">
        <v>10</v>
      </c>
      <c r="B18" s="14">
        <v>450000</v>
      </c>
      <c r="F18" s="4">
        <v>1</v>
      </c>
      <c r="G18" s="6">
        <f>$B$20</f>
        <v>500000</v>
      </c>
      <c r="H18" s="6">
        <f>G18*$B$23</f>
        <v>102835.88263785925</v>
      </c>
      <c r="I18" s="6">
        <f>IF(F18=$B$22,$B$21,G18-H18)</f>
        <v>397164.11736214074</v>
      </c>
    </row>
    <row r="19" spans="1:9" x14ac:dyDescent="0.3">
      <c r="A19" s="13" t="s">
        <v>13</v>
      </c>
      <c r="B19" s="14">
        <v>50000</v>
      </c>
      <c r="F19" s="4">
        <v>2</v>
      </c>
      <c r="G19" s="6">
        <f>I18</f>
        <v>397164.11736214074</v>
      </c>
      <c r="H19" s="6">
        <f t="shared" ref="H19:H27" si="3">G19*$B$23</f>
        <v>81685.445122044126</v>
      </c>
      <c r="I19" s="6">
        <f t="shared" ref="I19:I27" si="4">IF(F19=$B$22,$B$21,G19-H19)</f>
        <v>315478.67224009661</v>
      </c>
    </row>
    <row r="20" spans="1:9" x14ac:dyDescent="0.3">
      <c r="A20" s="13" t="s">
        <v>0</v>
      </c>
      <c r="B20" s="14">
        <f>SUM(B18:B19)</f>
        <v>500000</v>
      </c>
      <c r="D20" s="18" t="s">
        <v>54</v>
      </c>
      <c r="F20" s="4">
        <v>3</v>
      </c>
      <c r="G20" s="6">
        <f t="shared" ref="G20:G27" si="5">I19</f>
        <v>315478.67224009661</v>
      </c>
      <c r="H20" s="6">
        <f t="shared" si="3"/>
        <v>64885.05542646048</v>
      </c>
      <c r="I20" s="6">
        <f t="shared" si="4"/>
        <v>250593.61681363612</v>
      </c>
    </row>
    <row r="21" spans="1:9" x14ac:dyDescent="0.3">
      <c r="A21" s="13" t="s">
        <v>1</v>
      </c>
      <c r="B21" s="14">
        <v>50000</v>
      </c>
      <c r="F21" s="4">
        <v>4</v>
      </c>
      <c r="G21" s="6">
        <f t="shared" si="5"/>
        <v>250593.61681363612</v>
      </c>
      <c r="H21" s="6">
        <f t="shared" si="3"/>
        <v>51540.031536887516</v>
      </c>
      <c r="I21" s="6">
        <f t="shared" si="4"/>
        <v>199053.58527674861</v>
      </c>
    </row>
    <row r="22" spans="1:9" x14ac:dyDescent="0.3">
      <c r="A22" s="13" t="s">
        <v>2</v>
      </c>
      <c r="B22" s="12">
        <v>10</v>
      </c>
      <c r="F22" s="4">
        <v>5</v>
      </c>
      <c r="G22" s="6">
        <f t="shared" si="5"/>
        <v>199053.58527674861</v>
      </c>
      <c r="H22" s="6">
        <f t="shared" si="3"/>
        <v>40939.70226832966</v>
      </c>
      <c r="I22" s="6">
        <f t="shared" si="4"/>
        <v>158113.88300841895</v>
      </c>
    </row>
    <row r="23" spans="1:9" ht="16.8" customHeight="1" x14ac:dyDescent="0.3">
      <c r="A23" s="13" t="s">
        <v>9</v>
      </c>
      <c r="B23" s="17">
        <f>1-(B21/B20)^(1/B22)</f>
        <v>0.20567176527571851</v>
      </c>
      <c r="C23" s="3" t="s">
        <v>28</v>
      </c>
      <c r="D23" s="3" t="s">
        <v>29</v>
      </c>
      <c r="F23" s="4">
        <v>6</v>
      </c>
      <c r="G23" s="6">
        <f t="shared" si="5"/>
        <v>158113.88300841895</v>
      </c>
      <c r="H23" s="6">
        <f t="shared" si="3"/>
        <v>32519.561432939961</v>
      </c>
      <c r="I23" s="6">
        <f t="shared" si="4"/>
        <v>125594.321575479</v>
      </c>
    </row>
    <row r="24" spans="1:9" x14ac:dyDescent="0.3">
      <c r="A24" s="2" t="s">
        <v>52</v>
      </c>
      <c r="B24" s="21">
        <f>B20*B23</f>
        <v>102835.88263785925</v>
      </c>
      <c r="C24" s="3" t="s">
        <v>30</v>
      </c>
      <c r="D24" s="3" t="s">
        <v>31</v>
      </c>
      <c r="F24" s="4">
        <v>7</v>
      </c>
      <c r="G24" s="6">
        <f t="shared" si="5"/>
        <v>125594.321575479</v>
      </c>
      <c r="H24" s="6">
        <f t="shared" si="3"/>
        <v>25831.205827035024</v>
      </c>
      <c r="I24" s="6">
        <f t="shared" si="4"/>
        <v>99763.115748443975</v>
      </c>
    </row>
    <row r="25" spans="1:9" x14ac:dyDescent="0.3">
      <c r="A25" s="2" t="s">
        <v>53</v>
      </c>
      <c r="B25" s="21">
        <f>B20-B24</f>
        <v>397164.11736214074</v>
      </c>
      <c r="C25" s="3" t="s">
        <v>32</v>
      </c>
      <c r="D25" s="3" t="s">
        <v>33</v>
      </c>
      <c r="F25" s="4">
        <v>8</v>
      </c>
      <c r="G25" s="6">
        <f t="shared" si="5"/>
        <v>99763.115748443975</v>
      </c>
      <c r="H25" s="6">
        <f t="shared" si="3"/>
        <v>20518.456125388308</v>
      </c>
      <c r="I25" s="6">
        <f t="shared" si="4"/>
        <v>79244.659623055661</v>
      </c>
    </row>
    <row r="26" spans="1:9" x14ac:dyDescent="0.3">
      <c r="F26" s="4">
        <v>9</v>
      </c>
      <c r="G26" s="6">
        <f t="shared" si="5"/>
        <v>79244.659623055661</v>
      </c>
      <c r="H26" s="6">
        <f t="shared" si="3"/>
        <v>16298.389033347312</v>
      </c>
      <c r="I26" s="6">
        <f t="shared" si="4"/>
        <v>62946.270589708351</v>
      </c>
    </row>
    <row r="27" spans="1:9" x14ac:dyDescent="0.3">
      <c r="F27" s="4">
        <v>10</v>
      </c>
      <c r="G27" s="6">
        <f t="shared" si="5"/>
        <v>62946.270589708351</v>
      </c>
      <c r="H27" s="6">
        <f t="shared" si="3"/>
        <v>12946.27058970836</v>
      </c>
      <c r="I27" s="6">
        <f t="shared" si="4"/>
        <v>50000</v>
      </c>
    </row>
  </sheetData>
  <mergeCells count="3">
    <mergeCell ref="A1:I1"/>
    <mergeCell ref="A3:I3"/>
    <mergeCell ref="A16:I16"/>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27A1-BE18-45D9-A7C2-66663F6A60BF}">
  <dimension ref="A1:C10"/>
  <sheetViews>
    <sheetView workbookViewId="0">
      <selection sqref="A1:C10"/>
    </sheetView>
  </sheetViews>
  <sheetFormatPr defaultRowHeight="14.4" x14ac:dyDescent="0.3"/>
  <cols>
    <col min="1" max="1" width="9" bestFit="1" customWidth="1"/>
    <col min="2" max="2" width="52.44140625" bestFit="1" customWidth="1"/>
    <col min="3" max="3" width="10.44140625" bestFit="1" customWidth="1"/>
  </cols>
  <sheetData>
    <row r="1" spans="1:3" ht="15.6" x14ac:dyDescent="0.3">
      <c r="A1" s="29" t="s">
        <v>66</v>
      </c>
      <c r="B1" s="29" t="s">
        <v>55</v>
      </c>
      <c r="C1" s="29" t="s">
        <v>56</v>
      </c>
    </row>
    <row r="2" spans="1:3" x14ac:dyDescent="0.3">
      <c r="A2" s="16">
        <v>1</v>
      </c>
      <c r="B2" s="16" t="s">
        <v>57</v>
      </c>
      <c r="C2" s="24">
        <f>'Depreciation Calculator'!B10</f>
        <v>45000</v>
      </c>
    </row>
    <row r="3" spans="1:3" x14ac:dyDescent="0.3">
      <c r="A3" s="16">
        <v>2</v>
      </c>
      <c r="B3" s="16" t="s">
        <v>58</v>
      </c>
      <c r="C3" s="24">
        <f>'Depreciation Calculator'!B12</f>
        <v>450000</v>
      </c>
    </row>
    <row r="4" spans="1:3" x14ac:dyDescent="0.3">
      <c r="A4" s="16">
        <v>3</v>
      </c>
      <c r="B4" s="16" t="s">
        <v>59</v>
      </c>
      <c r="C4" s="24">
        <f>'Depreciation Calculator'!B13</f>
        <v>50000</v>
      </c>
    </row>
    <row r="5" spans="1:3" x14ac:dyDescent="0.3">
      <c r="A5" s="16">
        <v>4</v>
      </c>
      <c r="B5" s="16" t="s">
        <v>60</v>
      </c>
      <c r="C5" s="23">
        <f>'Depreciation Calculator'!B23</f>
        <v>0.20567176527571851</v>
      </c>
    </row>
    <row r="6" spans="1:3" x14ac:dyDescent="0.3">
      <c r="A6" s="16">
        <v>5</v>
      </c>
      <c r="B6" s="16" t="s">
        <v>61</v>
      </c>
      <c r="C6" s="22">
        <f>'Depreciation Calculator'!H19</f>
        <v>81685.445122044126</v>
      </c>
    </row>
    <row r="7" spans="1:3" x14ac:dyDescent="0.3">
      <c r="A7" s="16">
        <v>6</v>
      </c>
      <c r="B7" s="16" t="s">
        <v>62</v>
      </c>
      <c r="C7" s="22">
        <f>'Depreciation Calculator'!I21</f>
        <v>199053.58527674861</v>
      </c>
    </row>
    <row r="8" spans="1:3" x14ac:dyDescent="0.3">
      <c r="A8" s="16">
        <v>7</v>
      </c>
      <c r="B8" s="16" t="s">
        <v>63</v>
      </c>
      <c r="C8" s="22">
        <f>'Depreciation Calculator'!B20-'Depreciation Calculator'!I27</f>
        <v>450000</v>
      </c>
    </row>
    <row r="9" spans="1:3" x14ac:dyDescent="0.3">
      <c r="A9" s="16">
        <v>8</v>
      </c>
      <c r="B9" s="16" t="s">
        <v>64</v>
      </c>
      <c r="C9" s="22">
        <f>'Depreciation Calculator'!I27</f>
        <v>50000</v>
      </c>
    </row>
    <row r="10" spans="1:3" x14ac:dyDescent="0.3">
      <c r="A10" s="16">
        <v>9</v>
      </c>
      <c r="B10" s="16" t="s">
        <v>65</v>
      </c>
      <c r="C10" s="22">
        <f>SUM('Depreciation Calculator'!H5:H14)-SUM('Depreciation Calculator'!H18:H27)</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B9A1-2A47-45E6-975E-21CCFEE40536}">
  <dimension ref="A2:E19"/>
  <sheetViews>
    <sheetView tabSelected="1" zoomScale="85" zoomScaleNormal="85" workbookViewId="0">
      <selection activeCell="A2" sqref="A2:E12"/>
    </sheetView>
  </sheetViews>
  <sheetFormatPr defaultRowHeight="14.4" x14ac:dyDescent="0.3"/>
  <cols>
    <col min="2" max="2" width="16.44140625" customWidth="1"/>
    <col min="3" max="3" width="22.77734375" customWidth="1"/>
    <col min="4" max="4" width="16.21875" customWidth="1"/>
    <col min="5" max="5" width="16.88671875" customWidth="1"/>
  </cols>
  <sheetData>
    <row r="2" spans="1:5" ht="31.2" x14ac:dyDescent="0.3">
      <c r="A2" s="35" t="s">
        <v>6</v>
      </c>
      <c r="B2" s="35" t="s">
        <v>67</v>
      </c>
      <c r="C2" s="35" t="s">
        <v>68</v>
      </c>
      <c r="D2" s="35" t="s">
        <v>69</v>
      </c>
      <c r="E2" s="35" t="s">
        <v>70</v>
      </c>
    </row>
    <row r="3" spans="1:5" x14ac:dyDescent="0.3">
      <c r="A3" s="43">
        <v>1</v>
      </c>
      <c r="B3" s="44">
        <f>'Depreciation Calculator'!H5</f>
        <v>45000</v>
      </c>
      <c r="C3" s="44">
        <f>'Depreciation Calculator'!H18</f>
        <v>102835.88263785925</v>
      </c>
      <c r="D3" s="44">
        <f>'Depreciation Calculator'!I5</f>
        <v>455000</v>
      </c>
      <c r="E3" s="44">
        <f>'Depreciation Calculator'!I18</f>
        <v>397164.11736214074</v>
      </c>
    </row>
    <row r="4" spans="1:5" x14ac:dyDescent="0.3">
      <c r="A4" s="43">
        <v>2</v>
      </c>
      <c r="B4" s="44">
        <f>'Depreciation Calculator'!H6</f>
        <v>45000</v>
      </c>
      <c r="C4" s="44">
        <f>'Depreciation Calculator'!H19</f>
        <v>81685.445122044126</v>
      </c>
      <c r="D4" s="44">
        <f>'Depreciation Calculator'!I6</f>
        <v>410000</v>
      </c>
      <c r="E4" s="44">
        <f>'Depreciation Calculator'!I19</f>
        <v>315478.67224009661</v>
      </c>
    </row>
    <row r="5" spans="1:5" x14ac:dyDescent="0.3">
      <c r="A5" s="43">
        <v>3</v>
      </c>
      <c r="B5" s="44">
        <f>'Depreciation Calculator'!H7</f>
        <v>45000</v>
      </c>
      <c r="C5" s="44">
        <f>'Depreciation Calculator'!H20</f>
        <v>64885.05542646048</v>
      </c>
      <c r="D5" s="44">
        <f>'Depreciation Calculator'!I7</f>
        <v>365000</v>
      </c>
      <c r="E5" s="44">
        <f>'Depreciation Calculator'!I20</f>
        <v>250593.61681363612</v>
      </c>
    </row>
    <row r="6" spans="1:5" x14ac:dyDescent="0.3">
      <c r="A6" s="43">
        <v>4</v>
      </c>
      <c r="B6" s="44">
        <f>'Depreciation Calculator'!H8</f>
        <v>45000</v>
      </c>
      <c r="C6" s="44">
        <f>'Depreciation Calculator'!H21</f>
        <v>51540.031536887516</v>
      </c>
      <c r="D6" s="44">
        <f>'Depreciation Calculator'!I8</f>
        <v>320000</v>
      </c>
      <c r="E6" s="44">
        <f>'Depreciation Calculator'!I21</f>
        <v>199053.58527674861</v>
      </c>
    </row>
    <row r="7" spans="1:5" x14ac:dyDescent="0.3">
      <c r="A7" s="43">
        <v>5</v>
      </c>
      <c r="B7" s="44">
        <f>'Depreciation Calculator'!H9</f>
        <v>45000</v>
      </c>
      <c r="C7" s="44">
        <f>'Depreciation Calculator'!H22</f>
        <v>40939.70226832966</v>
      </c>
      <c r="D7" s="44">
        <f>'Depreciation Calculator'!I9</f>
        <v>275000</v>
      </c>
      <c r="E7" s="44">
        <f>'Depreciation Calculator'!I22</f>
        <v>158113.88300841895</v>
      </c>
    </row>
    <row r="8" spans="1:5" x14ac:dyDescent="0.3">
      <c r="A8" s="43">
        <v>6</v>
      </c>
      <c r="B8" s="44">
        <f>'Depreciation Calculator'!H10</f>
        <v>45000</v>
      </c>
      <c r="C8" s="44">
        <f>'Depreciation Calculator'!H23</f>
        <v>32519.561432939961</v>
      </c>
      <c r="D8" s="44">
        <f>'Depreciation Calculator'!I10</f>
        <v>230000</v>
      </c>
      <c r="E8" s="44">
        <f>'Depreciation Calculator'!I23</f>
        <v>125594.321575479</v>
      </c>
    </row>
    <row r="9" spans="1:5" x14ac:dyDescent="0.3">
      <c r="A9" s="43">
        <v>7</v>
      </c>
      <c r="B9" s="44">
        <f>'Depreciation Calculator'!H11</f>
        <v>45000</v>
      </c>
      <c r="C9" s="44">
        <f>'Depreciation Calculator'!H24</f>
        <v>25831.205827035024</v>
      </c>
      <c r="D9" s="44">
        <f>'Depreciation Calculator'!I11</f>
        <v>185000</v>
      </c>
      <c r="E9" s="44">
        <f>'Depreciation Calculator'!I24</f>
        <v>99763.115748443975</v>
      </c>
    </row>
    <row r="10" spans="1:5" x14ac:dyDescent="0.3">
      <c r="A10" s="43">
        <v>8</v>
      </c>
      <c r="B10" s="44">
        <f>'Depreciation Calculator'!H12</f>
        <v>45000</v>
      </c>
      <c r="C10" s="44">
        <f>'Depreciation Calculator'!H25</f>
        <v>20518.456125388308</v>
      </c>
      <c r="D10" s="44">
        <f>'Depreciation Calculator'!I12</f>
        <v>140000</v>
      </c>
      <c r="E10" s="44">
        <f>'Depreciation Calculator'!I25</f>
        <v>79244.659623055661</v>
      </c>
    </row>
    <row r="11" spans="1:5" x14ac:dyDescent="0.3">
      <c r="A11" s="43">
        <v>9</v>
      </c>
      <c r="B11" s="44">
        <f>'Depreciation Calculator'!H13</f>
        <v>45000</v>
      </c>
      <c r="C11" s="44">
        <f>'Depreciation Calculator'!H26</f>
        <v>16298.389033347312</v>
      </c>
      <c r="D11" s="44">
        <f>'Depreciation Calculator'!I13</f>
        <v>95000</v>
      </c>
      <c r="E11" s="44">
        <f>'Depreciation Calculator'!I26</f>
        <v>62946.270589708351</v>
      </c>
    </row>
    <row r="12" spans="1:5" x14ac:dyDescent="0.3">
      <c r="A12" s="43">
        <v>10</v>
      </c>
      <c r="B12" s="44">
        <f>'Depreciation Calculator'!H14</f>
        <v>45000</v>
      </c>
      <c r="C12" s="44">
        <f>'Depreciation Calculator'!H27</f>
        <v>12946.27058970836</v>
      </c>
      <c r="D12" s="44">
        <f>'Depreciation Calculator'!I14</f>
        <v>50000</v>
      </c>
      <c r="E12" s="44">
        <f>'Depreciation Calculator'!I27</f>
        <v>50000</v>
      </c>
    </row>
    <row r="15" spans="1:5" ht="15.6" x14ac:dyDescent="0.3">
      <c r="A15" s="25" t="s">
        <v>71</v>
      </c>
      <c r="D15" s="36"/>
    </row>
    <row r="16" spans="1:5" x14ac:dyDescent="0.3">
      <c r="A16" s="37" t="s">
        <v>72</v>
      </c>
      <c r="B16" s="37"/>
      <c r="C16" s="37"/>
      <c r="D16" s="37"/>
      <c r="E16" s="37"/>
    </row>
    <row r="17" spans="1:5" x14ac:dyDescent="0.3">
      <c r="A17" s="37"/>
      <c r="B17" s="37"/>
      <c r="C17" s="37"/>
      <c r="D17" s="37"/>
      <c r="E17" s="37"/>
    </row>
    <row r="18" spans="1:5" x14ac:dyDescent="0.3">
      <c r="A18" s="37"/>
      <c r="B18" s="37"/>
      <c r="C18" s="37"/>
      <c r="D18" s="37"/>
      <c r="E18" s="37"/>
    </row>
    <row r="19" spans="1:5" x14ac:dyDescent="0.3">
      <c r="A19" s="37"/>
      <c r="B19" s="37"/>
      <c r="C19" s="37"/>
      <c r="D19" s="37"/>
      <c r="E19" s="37"/>
    </row>
  </sheetData>
  <mergeCells count="1">
    <mergeCell ref="A16:E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Executive Summary</vt:lpstr>
      <vt:lpstr>Depreciation Calculator</vt:lpstr>
      <vt:lpstr>Advanced Answers</vt:lpstr>
      <vt:lpstr>Dashboard</vt:lpstr>
      <vt:lpstr>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SRIJITA SARKAR</cp:lastModifiedBy>
  <cp:lastPrinted>2019-12-30T11:34:18Z</cp:lastPrinted>
  <dcterms:created xsi:type="dcterms:W3CDTF">2019-12-30T10:28:43Z</dcterms:created>
  <dcterms:modified xsi:type="dcterms:W3CDTF">2026-09-21T21:08:50Z</dcterms:modified>
</cp:coreProperties>
</file>